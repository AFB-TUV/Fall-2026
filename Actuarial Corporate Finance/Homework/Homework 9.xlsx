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flo\Documents\Actuarial Science\Fall 2026\Actuarial Corporate Finance\Homework\"/>
    </mc:Choice>
  </mc:AlternateContent>
  <xr:revisionPtr revIDLastSave="0" documentId="13_ncr:1_{E74AC7BF-2081-4363-ACBF-5BCAE912C640}" xr6:coauthVersionLast="47" xr6:coauthVersionMax="47" xr10:uidLastSave="{00000000-0000-0000-0000-000000000000}"/>
  <bookViews>
    <workbookView xWindow="-108" yWindow="-108" windowWidth="23256" windowHeight="12456" xr2:uid="{D0988C5F-8C6E-487B-9EE6-3E72F23FD9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1" i="1" l="1"/>
  <c r="F61" i="1"/>
  <c r="E61" i="1"/>
  <c r="D61" i="1"/>
  <c r="G57" i="1"/>
  <c r="F57" i="1"/>
  <c r="E57" i="1"/>
  <c r="D57" i="1"/>
  <c r="G56" i="1"/>
  <c r="G58" i="1" s="1"/>
  <c r="G60" i="1" s="1"/>
  <c r="G62" i="1" s="1"/>
  <c r="F56" i="1"/>
  <c r="F58" i="1" s="1"/>
  <c r="F60" i="1" s="1"/>
  <c r="F62" i="1" s="1"/>
  <c r="E56" i="1"/>
  <c r="E58" i="1" s="1"/>
  <c r="E60" i="1" s="1"/>
  <c r="E62" i="1" s="1"/>
  <c r="D56" i="1"/>
  <c r="D58" i="1" s="1"/>
  <c r="D60" i="1" s="1"/>
  <c r="D62" i="1" s="1"/>
  <c r="C61" i="1"/>
  <c r="C57" i="1"/>
  <c r="C56" i="1"/>
  <c r="G52" i="1"/>
  <c r="F52" i="1"/>
  <c r="E52" i="1"/>
  <c r="D52" i="1"/>
  <c r="G48" i="1"/>
  <c r="F48" i="1"/>
  <c r="E48" i="1"/>
  <c r="D48" i="1"/>
  <c r="G47" i="1"/>
  <c r="G49" i="1" s="1"/>
  <c r="G51" i="1" s="1"/>
  <c r="G53" i="1" s="1"/>
  <c r="F47" i="1"/>
  <c r="F49" i="1" s="1"/>
  <c r="F51" i="1" s="1"/>
  <c r="F53" i="1" s="1"/>
  <c r="E47" i="1"/>
  <c r="E49" i="1" s="1"/>
  <c r="E51" i="1" s="1"/>
  <c r="E53" i="1" s="1"/>
  <c r="D47" i="1"/>
  <c r="D49" i="1" s="1"/>
  <c r="D51" i="1" s="1"/>
  <c r="D53" i="1" s="1"/>
  <c r="C52" i="1"/>
  <c r="C48" i="1"/>
  <c r="C47" i="1"/>
  <c r="C58" i="1"/>
  <c r="C60" i="1" s="1"/>
  <c r="B61" i="1"/>
  <c r="B60" i="1"/>
  <c r="B62" i="1" s="1"/>
  <c r="B52" i="1"/>
  <c r="B51" i="1"/>
  <c r="B53" i="1" s="1"/>
  <c r="H8" i="1"/>
  <c r="G25" i="1"/>
  <c r="F25" i="1"/>
  <c r="E25" i="1"/>
  <c r="D25" i="1"/>
  <c r="G21" i="1"/>
  <c r="F21" i="1"/>
  <c r="E21" i="1"/>
  <c r="D21" i="1"/>
  <c r="G20" i="1"/>
  <c r="G22" i="1" s="1"/>
  <c r="G24" i="1" s="1"/>
  <c r="G26" i="1" s="1"/>
  <c r="F20" i="1"/>
  <c r="E20" i="1"/>
  <c r="D20" i="1"/>
  <c r="C25" i="1"/>
  <c r="C21" i="1"/>
  <c r="C20" i="1"/>
  <c r="C22" i="1" s="1"/>
  <c r="C24" i="1" s="1"/>
  <c r="B25" i="1"/>
  <c r="B24" i="1"/>
  <c r="G11" i="1"/>
  <c r="F11" i="1"/>
  <c r="E11" i="1"/>
  <c r="D11" i="1"/>
  <c r="C11" i="1"/>
  <c r="C12" i="1"/>
  <c r="D12" i="1"/>
  <c r="E12" i="1"/>
  <c r="F12" i="1"/>
  <c r="G12" i="1"/>
  <c r="B15" i="1"/>
  <c r="B16" i="1"/>
  <c r="B17" i="1" s="1"/>
  <c r="C16" i="1"/>
  <c r="D16" i="1"/>
  <c r="E16" i="1"/>
  <c r="F16" i="1"/>
  <c r="G16" i="1"/>
  <c r="G34" i="1"/>
  <c r="F34" i="1"/>
  <c r="E34" i="1"/>
  <c r="D34" i="1"/>
  <c r="G30" i="1"/>
  <c r="F30" i="1"/>
  <c r="E30" i="1"/>
  <c r="D30" i="1"/>
  <c r="G29" i="1"/>
  <c r="F29" i="1"/>
  <c r="E29" i="1"/>
  <c r="D29" i="1"/>
  <c r="G43" i="1"/>
  <c r="F43" i="1"/>
  <c r="E43" i="1"/>
  <c r="D43" i="1"/>
  <c r="G39" i="1"/>
  <c r="F39" i="1"/>
  <c r="E39" i="1"/>
  <c r="D39" i="1"/>
  <c r="G38" i="1"/>
  <c r="F38" i="1"/>
  <c r="E38" i="1"/>
  <c r="D38" i="1"/>
  <c r="C43" i="1"/>
  <c r="C39" i="1"/>
  <c r="C38" i="1"/>
  <c r="C34" i="1"/>
  <c r="C30" i="1"/>
  <c r="C29" i="1"/>
  <c r="B43" i="1"/>
  <c r="B42" i="1"/>
  <c r="B34" i="1"/>
  <c r="B33" i="1"/>
  <c r="B6" i="1"/>
  <c r="B7" i="1"/>
  <c r="G7" i="1"/>
  <c r="F7" i="1"/>
  <c r="E7" i="1"/>
  <c r="D7" i="1"/>
  <c r="G3" i="1"/>
  <c r="F3" i="1"/>
  <c r="E3" i="1"/>
  <c r="D3" i="1"/>
  <c r="G2" i="1"/>
  <c r="G4" i="1" s="1"/>
  <c r="G6" i="1" s="1"/>
  <c r="F2" i="1"/>
  <c r="F4" i="1" s="1"/>
  <c r="F6" i="1" s="1"/>
  <c r="E2" i="1"/>
  <c r="E4" i="1" s="1"/>
  <c r="E6" i="1" s="1"/>
  <c r="D2" i="1"/>
  <c r="D4" i="1" s="1"/>
  <c r="D6" i="1" s="1"/>
  <c r="C7" i="1"/>
  <c r="C3" i="1"/>
  <c r="C2" i="1"/>
  <c r="C62" i="1" l="1"/>
  <c r="H62" i="1" s="1"/>
  <c r="C49" i="1"/>
  <c r="C51" i="1" s="1"/>
  <c r="C53" i="1" s="1"/>
  <c r="H53" i="1"/>
  <c r="F22" i="1"/>
  <c r="F24" i="1" s="1"/>
  <c r="F26" i="1" s="1"/>
  <c r="H26" i="1" s="1"/>
  <c r="E22" i="1"/>
  <c r="E24" i="1" s="1"/>
  <c r="E26" i="1" s="1"/>
  <c r="D22" i="1"/>
  <c r="D24" i="1" s="1"/>
  <c r="D26" i="1" s="1"/>
  <c r="B26" i="1"/>
  <c r="C26" i="1"/>
  <c r="D13" i="1"/>
  <c r="D15" i="1" s="1"/>
  <c r="D17" i="1" s="1"/>
  <c r="D40" i="1"/>
  <c r="D42" i="1" s="1"/>
  <c r="D44" i="1" s="1"/>
  <c r="G31" i="1"/>
  <c r="G33" i="1" s="1"/>
  <c r="G35" i="1" s="1"/>
  <c r="C31" i="1"/>
  <c r="C33" i="1" s="1"/>
  <c r="C35" i="1" s="1"/>
  <c r="D8" i="1"/>
  <c r="G13" i="1"/>
  <c r="G15" i="1" s="1"/>
  <c r="G17" i="1" s="1"/>
  <c r="F13" i="1"/>
  <c r="F15" i="1" s="1"/>
  <c r="F17" i="1" s="1"/>
  <c r="C13" i="1"/>
  <c r="C15" i="1" s="1"/>
  <c r="C17" i="1" s="1"/>
  <c r="G8" i="1"/>
  <c r="F8" i="1"/>
  <c r="E8" i="1"/>
  <c r="E13" i="1"/>
  <c r="E15" i="1" s="1"/>
  <c r="E17" i="1" s="1"/>
  <c r="B44" i="1"/>
  <c r="B8" i="1"/>
  <c r="F31" i="1"/>
  <c r="F33" i="1" s="1"/>
  <c r="F35" i="1" s="1"/>
  <c r="E31" i="1"/>
  <c r="E33" i="1" s="1"/>
  <c r="E35" i="1" s="1"/>
  <c r="D31" i="1"/>
  <c r="D33" i="1" s="1"/>
  <c r="D35" i="1" s="1"/>
  <c r="G40" i="1"/>
  <c r="G42" i="1" s="1"/>
  <c r="G44" i="1" s="1"/>
  <c r="F40" i="1"/>
  <c r="F42" i="1" s="1"/>
  <c r="F44" i="1" s="1"/>
  <c r="E40" i="1"/>
  <c r="E42" i="1" s="1"/>
  <c r="E44" i="1" s="1"/>
  <c r="B35" i="1"/>
  <c r="C40" i="1"/>
  <c r="C42" i="1" s="1"/>
  <c r="C44" i="1" s="1"/>
  <c r="C4" i="1"/>
  <c r="C6" i="1" s="1"/>
  <c r="C8" i="1" s="1"/>
  <c r="H35" i="1" l="1"/>
  <c r="H44" i="1"/>
  <c r="H17" i="1"/>
</calcChain>
</file>

<file path=xl/sharedStrings.xml><?xml version="1.0" encoding="utf-8"?>
<sst xmlns="http://schemas.openxmlformats.org/spreadsheetml/2006/main" count="75" uniqueCount="21">
  <si>
    <t>Year</t>
  </si>
  <si>
    <t>Sales</t>
  </si>
  <si>
    <t>Costs</t>
  </si>
  <si>
    <t>Operating CFs</t>
  </si>
  <si>
    <t>Capital Spending</t>
  </si>
  <si>
    <t>Project CF</t>
  </si>
  <si>
    <t>Subscribers</t>
  </si>
  <si>
    <t>Price per</t>
  </si>
  <si>
    <t>V. Costs</t>
  </si>
  <si>
    <t>F. Costs</t>
  </si>
  <si>
    <t>Scenario 1</t>
  </si>
  <si>
    <t>Scenario 0</t>
  </si>
  <si>
    <t>WACC</t>
  </si>
  <si>
    <t>Interest Rate</t>
  </si>
  <si>
    <t>Cash Flow</t>
  </si>
  <si>
    <t>NPV</t>
  </si>
  <si>
    <t>Scenario 2</t>
  </si>
  <si>
    <t>Scenario 3</t>
  </si>
  <si>
    <t>Scenario 4</t>
  </si>
  <si>
    <t>Scenario 5</t>
  </si>
  <si>
    <t>Scenario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</si>
</sst>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4" fontId="0" fillId="0" borderId="0" xfId="0" applyNumberFormat="1"/>
    <xf numFmtId="44" fontId="1" fillId="0" borderId="0" xfId="0" applyNumberFormat="1" applyFont="1"/>
    <xf numFmtId="43" fontId="0" fillId="0" borderId="0" xfId="0" applyNumberFormat="1"/>
    <xf numFmtId="4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07EC-B30B-44DF-98A9-8943115E0AE6}">
  <dimension ref="A1:O62"/>
  <sheetViews>
    <sheetView tabSelected="1" topLeftCell="A39" workbookViewId="0">
      <selection activeCell="A55" sqref="A55:G62"/>
    </sheetView>
  </sheetViews>
  <sheetFormatPr defaultRowHeight="14.4" x14ac:dyDescent="0.3"/>
  <cols>
    <col min="2" max="2" width="11.77734375" bestFit="1" customWidth="1"/>
    <col min="3" max="7" width="12.21875" bestFit="1" customWidth="1"/>
    <col min="8" max="8" width="12.44140625" bestFit="1" customWidth="1"/>
  </cols>
  <sheetData>
    <row r="1" spans="1:15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 s="1" t="s">
        <v>15</v>
      </c>
      <c r="K1" t="s">
        <v>6</v>
      </c>
      <c r="L1" t="s">
        <v>7</v>
      </c>
      <c r="M1" t="s">
        <v>8</v>
      </c>
      <c r="N1" t="s">
        <v>9</v>
      </c>
      <c r="O1" t="s">
        <v>12</v>
      </c>
    </row>
    <row r="2" spans="1:15" x14ac:dyDescent="0.3">
      <c r="A2" t="s">
        <v>1</v>
      </c>
      <c r="B2" s="5"/>
      <c r="C2" s="5">
        <f>$K2*$L2</f>
        <v>70000</v>
      </c>
      <c r="D2" s="5">
        <f t="shared" ref="D2:G2" si="0">$K2*$L2</f>
        <v>70000</v>
      </c>
      <c r="E2" s="5">
        <f t="shared" si="0"/>
        <v>70000</v>
      </c>
      <c r="F2" s="5">
        <f t="shared" si="0"/>
        <v>70000</v>
      </c>
      <c r="G2" s="5">
        <f t="shared" si="0"/>
        <v>70000</v>
      </c>
      <c r="H2" s="3"/>
      <c r="J2" t="s">
        <v>11</v>
      </c>
      <c r="K2">
        <v>200</v>
      </c>
      <c r="L2">
        <v>350</v>
      </c>
      <c r="M2">
        <v>80</v>
      </c>
      <c r="N2">
        <v>25000</v>
      </c>
      <c r="O2">
        <v>0.15</v>
      </c>
    </row>
    <row r="3" spans="1:15" x14ac:dyDescent="0.3">
      <c r="A3" t="s">
        <v>2</v>
      </c>
      <c r="B3" s="5"/>
      <c r="C3" s="5">
        <f>($K2*$M2+$N2)*-1</f>
        <v>-41000</v>
      </c>
      <c r="D3" s="5">
        <f t="shared" ref="D3:G3" si="1">($K2*$M2+$N2)*-1</f>
        <v>-41000</v>
      </c>
      <c r="E3" s="5">
        <f t="shared" si="1"/>
        <v>-41000</v>
      </c>
      <c r="F3" s="5">
        <f t="shared" si="1"/>
        <v>-41000</v>
      </c>
      <c r="G3" s="5">
        <f t="shared" si="1"/>
        <v>-41000</v>
      </c>
      <c r="H3" s="3"/>
      <c r="J3" t="s">
        <v>10</v>
      </c>
      <c r="K3">
        <v>300</v>
      </c>
      <c r="L3">
        <v>350</v>
      </c>
      <c r="M3">
        <v>80</v>
      </c>
      <c r="N3">
        <v>15000</v>
      </c>
      <c r="O3">
        <v>0.15</v>
      </c>
    </row>
    <row r="4" spans="1:15" x14ac:dyDescent="0.3">
      <c r="A4" t="s">
        <v>3</v>
      </c>
      <c r="B4" s="5"/>
      <c r="C4" s="5">
        <f>C2+C3</f>
        <v>29000</v>
      </c>
      <c r="D4" s="5">
        <f t="shared" ref="D4:G4" si="2">D2+D3</f>
        <v>29000</v>
      </c>
      <c r="E4" s="5">
        <f t="shared" si="2"/>
        <v>29000</v>
      </c>
      <c r="F4" s="5">
        <f t="shared" si="2"/>
        <v>29000</v>
      </c>
      <c r="G4" s="5">
        <f t="shared" si="2"/>
        <v>29000</v>
      </c>
      <c r="H4" s="3"/>
      <c r="J4" t="s">
        <v>16</v>
      </c>
      <c r="K4">
        <v>150</v>
      </c>
      <c r="L4">
        <v>350</v>
      </c>
      <c r="M4">
        <v>80</v>
      </c>
      <c r="N4">
        <v>40000</v>
      </c>
      <c r="O4">
        <v>0.15</v>
      </c>
    </row>
    <row r="5" spans="1:15" x14ac:dyDescent="0.3">
      <c r="A5" t="s">
        <v>4</v>
      </c>
      <c r="B5" s="5">
        <v>-75000</v>
      </c>
      <c r="C5" s="5"/>
      <c r="D5" s="5"/>
      <c r="E5" s="5"/>
      <c r="F5" s="5"/>
      <c r="G5" s="5"/>
      <c r="H5" s="3"/>
      <c r="J5" t="s">
        <v>17</v>
      </c>
      <c r="K5">
        <v>200</v>
      </c>
      <c r="L5">
        <v>350</v>
      </c>
      <c r="M5">
        <v>80</v>
      </c>
      <c r="N5">
        <v>25000</v>
      </c>
      <c r="O5">
        <v>0.1</v>
      </c>
    </row>
    <row r="6" spans="1:15" x14ac:dyDescent="0.3">
      <c r="A6" t="s">
        <v>5</v>
      </c>
      <c r="B6" s="5">
        <f>B5</f>
        <v>-75000</v>
      </c>
      <c r="C6" s="5">
        <f>C4</f>
        <v>29000</v>
      </c>
      <c r="D6" s="5">
        <f t="shared" ref="D6:G6" si="3">D4</f>
        <v>29000</v>
      </c>
      <c r="E6" s="5">
        <f t="shared" si="3"/>
        <v>29000</v>
      </c>
      <c r="F6" s="5">
        <f t="shared" si="3"/>
        <v>29000</v>
      </c>
      <c r="G6" s="5">
        <f t="shared" si="3"/>
        <v>29000</v>
      </c>
      <c r="H6" s="3"/>
      <c r="J6" t="s">
        <v>18</v>
      </c>
      <c r="K6">
        <v>200</v>
      </c>
      <c r="L6">
        <v>350</v>
      </c>
      <c r="M6">
        <v>80</v>
      </c>
      <c r="N6">
        <v>25000</v>
      </c>
      <c r="O6">
        <v>0.2</v>
      </c>
    </row>
    <row r="7" spans="1:15" x14ac:dyDescent="0.3">
      <c r="A7" t="s">
        <v>13</v>
      </c>
      <c r="B7" s="4">
        <f>(1/(1+$O2))^B1</f>
        <v>1</v>
      </c>
      <c r="C7" s="4">
        <f>(1/(1+$O2))^C1</f>
        <v>0.86956521739130443</v>
      </c>
      <c r="D7" s="4">
        <f t="shared" ref="D7:G7" si="4">(1/(1+$O2))^D1</f>
        <v>0.7561436672967865</v>
      </c>
      <c r="E7" s="4">
        <f t="shared" si="4"/>
        <v>0.65751623243198831</v>
      </c>
      <c r="F7" s="4">
        <f t="shared" si="4"/>
        <v>0.57175324559303331</v>
      </c>
      <c r="G7" s="4">
        <f t="shared" si="4"/>
        <v>0.49717673529828987</v>
      </c>
      <c r="H7" s="3"/>
      <c r="J7" t="s">
        <v>19</v>
      </c>
      <c r="K7">
        <v>300</v>
      </c>
      <c r="L7">
        <v>350</v>
      </c>
      <c r="M7">
        <v>80</v>
      </c>
      <c r="N7">
        <v>25000</v>
      </c>
      <c r="O7">
        <v>0.2</v>
      </c>
    </row>
    <row r="8" spans="1:15" x14ac:dyDescent="0.3">
      <c r="A8" t="s">
        <v>14</v>
      </c>
      <c r="B8" s="2">
        <f>B6*B7</f>
        <v>-75000</v>
      </c>
      <c r="C8" s="2">
        <f t="shared" ref="C8:G8" si="5">C6*C7</f>
        <v>25217.391304347828</v>
      </c>
      <c r="D8" s="2">
        <f t="shared" si="5"/>
        <v>21928.166351606807</v>
      </c>
      <c r="E8" s="2">
        <f t="shared" si="5"/>
        <v>19067.97074052766</v>
      </c>
      <c r="F8" s="2">
        <f t="shared" si="5"/>
        <v>16580.844122197966</v>
      </c>
      <c r="G8" s="2">
        <f t="shared" si="5"/>
        <v>14418.125323650407</v>
      </c>
      <c r="H8" s="3">
        <f>SUM(B8:G8)</f>
        <v>22212.497842330667</v>
      </c>
      <c r="J8" t="s">
        <v>20</v>
      </c>
      <c r="K8">
        <v>200</v>
      </c>
      <c r="L8">
        <v>350</v>
      </c>
      <c r="M8">
        <v>120</v>
      </c>
      <c r="N8">
        <v>35000</v>
      </c>
      <c r="O8">
        <v>0.15</v>
      </c>
    </row>
    <row r="10" spans="1:15" x14ac:dyDescent="0.3">
      <c r="A10" t="s">
        <v>0</v>
      </c>
      <c r="B10">
        <v>0</v>
      </c>
      <c r="C10">
        <v>1</v>
      </c>
      <c r="D10">
        <v>2</v>
      </c>
      <c r="E10">
        <v>3</v>
      </c>
      <c r="F10">
        <v>4</v>
      </c>
      <c r="G10">
        <v>5</v>
      </c>
      <c r="H10" s="1" t="s">
        <v>15</v>
      </c>
    </row>
    <row r="11" spans="1:15" x14ac:dyDescent="0.3">
      <c r="A11" t="s">
        <v>1</v>
      </c>
      <c r="B11" s="5"/>
      <c r="C11" s="5">
        <f>$K3*$L3</f>
        <v>105000</v>
      </c>
      <c r="D11" s="5">
        <f>$K3*$L3</f>
        <v>105000</v>
      </c>
      <c r="E11" s="5">
        <f>$K3*$L3</f>
        <v>105000</v>
      </c>
      <c r="F11" s="5">
        <f>$K3*$L3</f>
        <v>105000</v>
      </c>
      <c r="G11" s="5">
        <f>$K3*$L3</f>
        <v>105000</v>
      </c>
      <c r="H11" s="3"/>
    </row>
    <row r="12" spans="1:15" x14ac:dyDescent="0.3">
      <c r="A12" t="s">
        <v>2</v>
      </c>
      <c r="B12" s="5"/>
      <c r="C12" s="5">
        <f>($M3*$K3+$N3)*-1</f>
        <v>-39000</v>
      </c>
      <c r="D12" s="5">
        <f t="shared" ref="D12:G12" si="6">($M3*$K3+$N3)*-1</f>
        <v>-39000</v>
      </c>
      <c r="E12" s="5">
        <f t="shared" si="6"/>
        <v>-39000</v>
      </c>
      <c r="F12" s="5">
        <f t="shared" si="6"/>
        <v>-39000</v>
      </c>
      <c r="G12" s="5">
        <f t="shared" si="6"/>
        <v>-39000</v>
      </c>
      <c r="H12" s="3"/>
    </row>
    <row r="13" spans="1:15" x14ac:dyDescent="0.3">
      <c r="A13" t="s">
        <v>3</v>
      </c>
      <c r="B13" s="5"/>
      <c r="C13" s="5">
        <f>C11+C12</f>
        <v>66000</v>
      </c>
      <c r="D13" s="5">
        <f t="shared" ref="D13:G13" si="7">D11+D12</f>
        <v>66000</v>
      </c>
      <c r="E13" s="5">
        <f t="shared" si="7"/>
        <v>66000</v>
      </c>
      <c r="F13" s="5">
        <f t="shared" si="7"/>
        <v>66000</v>
      </c>
      <c r="G13" s="5">
        <f t="shared" si="7"/>
        <v>66000</v>
      </c>
      <c r="H13" s="3"/>
    </row>
    <row r="14" spans="1:15" x14ac:dyDescent="0.3">
      <c r="A14" t="s">
        <v>4</v>
      </c>
      <c r="B14" s="5">
        <v>-75000</v>
      </c>
      <c r="C14" s="5"/>
      <c r="D14" s="5"/>
      <c r="E14" s="5"/>
      <c r="F14" s="5"/>
      <c r="G14" s="5"/>
      <c r="H14" s="3"/>
    </row>
    <row r="15" spans="1:15" x14ac:dyDescent="0.3">
      <c r="A15" t="s">
        <v>5</v>
      </c>
      <c r="B15" s="5">
        <f>B14</f>
        <v>-75000</v>
      </c>
      <c r="C15" s="5">
        <f>C13</f>
        <v>66000</v>
      </c>
      <c r="D15" s="5">
        <f t="shared" ref="D15:G15" si="8">D13</f>
        <v>66000</v>
      </c>
      <c r="E15" s="5">
        <f t="shared" si="8"/>
        <v>66000</v>
      </c>
      <c r="F15" s="5">
        <f t="shared" si="8"/>
        <v>66000</v>
      </c>
      <c r="G15" s="5">
        <f t="shared" si="8"/>
        <v>66000</v>
      </c>
      <c r="H15" s="3"/>
    </row>
    <row r="16" spans="1:15" x14ac:dyDescent="0.3">
      <c r="A16" t="s">
        <v>13</v>
      </c>
      <c r="B16" s="4">
        <f>(1/(1+$O11))^B10</f>
        <v>1</v>
      </c>
      <c r="C16" s="4">
        <f>(1/(1+$O3))^C10</f>
        <v>0.86956521739130443</v>
      </c>
      <c r="D16" s="4">
        <f t="shared" ref="D16:G16" si="9">(1/(1+$O3))^D10</f>
        <v>0.7561436672967865</v>
      </c>
      <c r="E16" s="4">
        <f t="shared" si="9"/>
        <v>0.65751623243198831</v>
      </c>
      <c r="F16" s="4">
        <f t="shared" si="9"/>
        <v>0.57175324559303331</v>
      </c>
      <c r="G16" s="4">
        <f t="shared" si="9"/>
        <v>0.49717673529828987</v>
      </c>
      <c r="H16" s="3"/>
    </row>
    <row r="17" spans="1:8" x14ac:dyDescent="0.3">
      <c r="A17" t="s">
        <v>14</v>
      </c>
      <c r="B17" s="2">
        <f>B15*B16</f>
        <v>-75000</v>
      </c>
      <c r="C17" s="2">
        <f t="shared" ref="C17" si="10">C15*C16</f>
        <v>57391.304347826095</v>
      </c>
      <c r="D17" s="2">
        <f t="shared" ref="D17" si="11">D15*D16</f>
        <v>49905.482041587908</v>
      </c>
      <c r="E17" s="2">
        <f t="shared" ref="E17" si="12">E15*E16</f>
        <v>43396.071340511226</v>
      </c>
      <c r="F17" s="2">
        <f t="shared" ref="F17" si="13">F15*F16</f>
        <v>37735.714209140198</v>
      </c>
      <c r="G17" s="2">
        <f t="shared" ref="G17" si="14">G15*G16</f>
        <v>32813.664529687128</v>
      </c>
      <c r="H17" s="3">
        <f>SUM(B17:G17)</f>
        <v>146242.23646875256</v>
      </c>
    </row>
    <row r="18" spans="1:8" x14ac:dyDescent="0.3">
      <c r="B18" s="2"/>
      <c r="C18" s="2"/>
      <c r="D18" s="2"/>
      <c r="E18" s="2"/>
      <c r="F18" s="2"/>
      <c r="G18" s="2"/>
      <c r="H18" s="3"/>
    </row>
    <row r="19" spans="1:8" x14ac:dyDescent="0.3">
      <c r="A19" t="s">
        <v>0</v>
      </c>
      <c r="B19">
        <v>0</v>
      </c>
      <c r="C19">
        <v>1</v>
      </c>
      <c r="D19">
        <v>2</v>
      </c>
      <c r="E19">
        <v>3</v>
      </c>
      <c r="F19">
        <v>4</v>
      </c>
      <c r="G19">
        <v>5</v>
      </c>
      <c r="H19" s="1" t="s">
        <v>15</v>
      </c>
    </row>
    <row r="20" spans="1:8" x14ac:dyDescent="0.3">
      <c r="A20" t="s">
        <v>1</v>
      </c>
      <c r="B20" s="5"/>
      <c r="C20" s="5">
        <f>$K4*$L4</f>
        <v>52500</v>
      </c>
      <c r="D20" s="5">
        <f t="shared" ref="D20:G20" si="15">$K4*$L4</f>
        <v>52500</v>
      </c>
      <c r="E20" s="5">
        <f t="shared" si="15"/>
        <v>52500</v>
      </c>
      <c r="F20" s="5">
        <f t="shared" si="15"/>
        <v>52500</v>
      </c>
      <c r="G20" s="5">
        <f t="shared" si="15"/>
        <v>52500</v>
      </c>
      <c r="H20" s="3"/>
    </row>
    <row r="21" spans="1:8" x14ac:dyDescent="0.3">
      <c r="A21" t="s">
        <v>2</v>
      </c>
      <c r="B21" s="5"/>
      <c r="C21" s="5">
        <f>($M4*$K4+$N4)*-1</f>
        <v>-52000</v>
      </c>
      <c r="D21" s="5">
        <f t="shared" ref="D21:G21" si="16">($M4*$K4+$N4)*-1</f>
        <v>-52000</v>
      </c>
      <c r="E21" s="5">
        <f t="shared" si="16"/>
        <v>-52000</v>
      </c>
      <c r="F21" s="5">
        <f t="shared" si="16"/>
        <v>-52000</v>
      </c>
      <c r="G21" s="5">
        <f t="shared" si="16"/>
        <v>-52000</v>
      </c>
      <c r="H21" s="3"/>
    </row>
    <row r="22" spans="1:8" x14ac:dyDescent="0.3">
      <c r="A22" t="s">
        <v>3</v>
      </c>
      <c r="B22" s="5"/>
      <c r="C22" s="5">
        <f>C20+C21</f>
        <v>500</v>
      </c>
      <c r="D22" s="5">
        <f t="shared" ref="D22:G22" si="17">D20+D21</f>
        <v>500</v>
      </c>
      <c r="E22" s="5">
        <f t="shared" si="17"/>
        <v>500</v>
      </c>
      <c r="F22" s="5">
        <f t="shared" si="17"/>
        <v>500</v>
      </c>
      <c r="G22" s="5">
        <f t="shared" si="17"/>
        <v>500</v>
      </c>
      <c r="H22" s="3"/>
    </row>
    <row r="23" spans="1:8" x14ac:dyDescent="0.3">
      <c r="A23" t="s">
        <v>4</v>
      </c>
      <c r="B23" s="5">
        <v>-75000</v>
      </c>
      <c r="C23" s="5"/>
      <c r="D23" s="5"/>
      <c r="E23" s="5"/>
      <c r="F23" s="5"/>
      <c r="G23" s="5"/>
      <c r="H23" s="3"/>
    </row>
    <row r="24" spans="1:8" x14ac:dyDescent="0.3">
      <c r="A24" t="s">
        <v>5</v>
      </c>
      <c r="B24" s="5">
        <f>B23</f>
        <v>-75000</v>
      </c>
      <c r="C24" s="5">
        <f>C22</f>
        <v>500</v>
      </c>
      <c r="D24" s="5">
        <f t="shared" ref="D24:G24" si="18">D22</f>
        <v>500</v>
      </c>
      <c r="E24" s="5">
        <f t="shared" si="18"/>
        <v>500</v>
      </c>
      <c r="F24" s="5">
        <f t="shared" si="18"/>
        <v>500</v>
      </c>
      <c r="G24" s="5">
        <f t="shared" si="18"/>
        <v>500</v>
      </c>
      <c r="H24" s="3"/>
    </row>
    <row r="25" spans="1:8" x14ac:dyDescent="0.3">
      <c r="A25" t="s">
        <v>13</v>
      </c>
      <c r="B25" s="4">
        <f>(1/(1+$O20))^B19</f>
        <v>1</v>
      </c>
      <c r="C25" s="4">
        <f>(1/(1+$O4))^C19</f>
        <v>0.86956521739130443</v>
      </c>
      <c r="D25" s="4">
        <f t="shared" ref="D25:G25" si="19">(1/(1+$O4))^D19</f>
        <v>0.7561436672967865</v>
      </c>
      <c r="E25" s="4">
        <f t="shared" si="19"/>
        <v>0.65751623243198831</v>
      </c>
      <c r="F25" s="4">
        <f t="shared" si="19"/>
        <v>0.57175324559303331</v>
      </c>
      <c r="G25" s="4">
        <f t="shared" si="19"/>
        <v>0.49717673529828987</v>
      </c>
      <c r="H25" s="3"/>
    </row>
    <row r="26" spans="1:8" x14ac:dyDescent="0.3">
      <c r="A26" t="s">
        <v>14</v>
      </c>
      <c r="B26" s="2">
        <f>B24*B25</f>
        <v>-75000</v>
      </c>
      <c r="C26" s="2">
        <f t="shared" ref="C26" si="20">C24*C25</f>
        <v>434.78260869565224</v>
      </c>
      <c r="D26" s="2">
        <f t="shared" ref="D26" si="21">D24*D25</f>
        <v>378.07183364839324</v>
      </c>
      <c r="E26" s="2">
        <f t="shared" ref="E26" si="22">E24*E25</f>
        <v>328.75811621599416</v>
      </c>
      <c r="F26" s="2">
        <f t="shared" ref="F26" si="23">F24*F25</f>
        <v>285.87662279651664</v>
      </c>
      <c r="G26" s="2">
        <f t="shared" ref="G26" si="24">G24*G25</f>
        <v>248.58836764914494</v>
      </c>
      <c r="H26" s="3">
        <f>SUM(B26:G26)</f>
        <v>-73323.922450994301</v>
      </c>
    </row>
    <row r="28" spans="1:8" x14ac:dyDescent="0.3">
      <c r="A28" t="s">
        <v>0</v>
      </c>
      <c r="B28">
        <v>0</v>
      </c>
      <c r="C28">
        <v>1</v>
      </c>
      <c r="D28">
        <v>2</v>
      </c>
      <c r="E28">
        <v>3</v>
      </c>
      <c r="F28">
        <v>4</v>
      </c>
      <c r="G28">
        <v>5</v>
      </c>
      <c r="H28" s="1" t="s">
        <v>15</v>
      </c>
    </row>
    <row r="29" spans="1:8" x14ac:dyDescent="0.3">
      <c r="A29" t="s">
        <v>1</v>
      </c>
      <c r="B29" s="5"/>
      <c r="C29" s="5">
        <f>$K5*$L5</f>
        <v>70000</v>
      </c>
      <c r="D29" s="5">
        <f>$K5*$L5</f>
        <v>70000</v>
      </c>
      <c r="E29" s="5">
        <f>$K5*$L5</f>
        <v>70000</v>
      </c>
      <c r="F29" s="5">
        <f>$K5*$L5</f>
        <v>70000</v>
      </c>
      <c r="G29" s="5">
        <f>$K5*$L5</f>
        <v>70000</v>
      </c>
      <c r="H29" s="3"/>
    </row>
    <row r="30" spans="1:8" x14ac:dyDescent="0.3">
      <c r="A30" t="s">
        <v>2</v>
      </c>
      <c r="B30" s="5"/>
      <c r="C30" s="5">
        <f>($M5*$K5+$N5)*-1</f>
        <v>-41000</v>
      </c>
      <c r="D30" s="5">
        <f>($M5*$K5+$N5)*-1</f>
        <v>-41000</v>
      </c>
      <c r="E30" s="5">
        <f>($M5*$K5+$N5)*-1</f>
        <v>-41000</v>
      </c>
      <c r="F30" s="5">
        <f>($M5*$K5+$N5)*-1</f>
        <v>-41000</v>
      </c>
      <c r="G30" s="5">
        <f>($M5*$K5+$N5)*-1</f>
        <v>-41000</v>
      </c>
      <c r="H30" s="3"/>
    </row>
    <row r="31" spans="1:8" x14ac:dyDescent="0.3">
      <c r="A31" t="s">
        <v>3</v>
      </c>
      <c r="B31" s="5"/>
      <c r="C31" s="5">
        <f>C29+C30</f>
        <v>29000</v>
      </c>
      <c r="D31" s="5">
        <f t="shared" ref="D31:G31" si="25">D29+D30</f>
        <v>29000</v>
      </c>
      <c r="E31" s="5">
        <f t="shared" si="25"/>
        <v>29000</v>
      </c>
      <c r="F31" s="5">
        <f t="shared" si="25"/>
        <v>29000</v>
      </c>
      <c r="G31" s="5">
        <f t="shared" si="25"/>
        <v>29000</v>
      </c>
      <c r="H31" s="3"/>
    </row>
    <row r="32" spans="1:8" x14ac:dyDescent="0.3">
      <c r="A32" t="s">
        <v>4</v>
      </c>
      <c r="B32" s="5">
        <v>-75000</v>
      </c>
      <c r="C32" s="5"/>
      <c r="D32" s="5"/>
      <c r="E32" s="5"/>
      <c r="F32" s="5"/>
      <c r="G32" s="5"/>
      <c r="H32" s="3"/>
    </row>
    <row r="33" spans="1:8" x14ac:dyDescent="0.3">
      <c r="A33" t="s">
        <v>5</v>
      </c>
      <c r="B33" s="5">
        <f>B32</f>
        <v>-75000</v>
      </c>
      <c r="C33" s="5">
        <f>C31</f>
        <v>29000</v>
      </c>
      <c r="D33" s="5">
        <f t="shared" ref="D33:G33" si="26">D31</f>
        <v>29000</v>
      </c>
      <c r="E33" s="5">
        <f t="shared" si="26"/>
        <v>29000</v>
      </c>
      <c r="F33" s="5">
        <f t="shared" si="26"/>
        <v>29000</v>
      </c>
      <c r="G33" s="5">
        <f t="shared" si="26"/>
        <v>29000</v>
      </c>
      <c r="H33" s="3"/>
    </row>
    <row r="34" spans="1:8" x14ac:dyDescent="0.3">
      <c r="A34" t="s">
        <v>13</v>
      </c>
      <c r="B34" s="4">
        <f>(1/(1+$O29))^B28</f>
        <v>1</v>
      </c>
      <c r="C34" s="4">
        <f>(1/(1+$O5))^C28</f>
        <v>0.90909090909090906</v>
      </c>
      <c r="D34" s="4">
        <f>(1/(1+$O5))^D28</f>
        <v>0.82644628099173545</v>
      </c>
      <c r="E34" s="4">
        <f>(1/(1+$O5))^E28</f>
        <v>0.75131480090157765</v>
      </c>
      <c r="F34" s="4">
        <f>(1/(1+$O5))^F28</f>
        <v>0.68301345536507052</v>
      </c>
      <c r="G34" s="4">
        <f>(1/(1+$O5))^G28</f>
        <v>0.62092132305915504</v>
      </c>
      <c r="H34" s="3"/>
    </row>
    <row r="35" spans="1:8" x14ac:dyDescent="0.3">
      <c r="A35" t="s">
        <v>14</v>
      </c>
      <c r="B35" s="2">
        <f>B33*B34</f>
        <v>-75000</v>
      </c>
      <c r="C35" s="2">
        <f t="shared" ref="C35" si="27">C33*C34</f>
        <v>26363.636363636364</v>
      </c>
      <c r="D35" s="2">
        <f t="shared" ref="D35" si="28">D33*D34</f>
        <v>23966.942148760329</v>
      </c>
      <c r="E35" s="2">
        <f t="shared" ref="E35" si="29">E33*E34</f>
        <v>21788.129226145753</v>
      </c>
      <c r="F35" s="2">
        <f t="shared" ref="F35" si="30">F33*F34</f>
        <v>19807.390205587046</v>
      </c>
      <c r="G35" s="2">
        <f t="shared" ref="G35" si="31">G33*G34</f>
        <v>18006.718368715497</v>
      </c>
      <c r="H35" s="3">
        <f>SUM(B35:G35)</f>
        <v>34932.816312844996</v>
      </c>
    </row>
    <row r="37" spans="1:8" x14ac:dyDescent="0.3">
      <c r="A37" t="s">
        <v>0</v>
      </c>
      <c r="B37">
        <v>0</v>
      </c>
      <c r="C37">
        <v>1</v>
      </c>
      <c r="D37">
        <v>2</v>
      </c>
      <c r="E37">
        <v>3</v>
      </c>
      <c r="F37">
        <v>4</v>
      </c>
      <c r="G37">
        <v>5</v>
      </c>
      <c r="H37" s="1" t="s">
        <v>15</v>
      </c>
    </row>
    <row r="38" spans="1:8" x14ac:dyDescent="0.3">
      <c r="A38" t="s">
        <v>1</v>
      </c>
      <c r="B38" s="5"/>
      <c r="C38" s="5">
        <f>$K6*$L6</f>
        <v>70000</v>
      </c>
      <c r="D38" s="5">
        <f>$K6*$L6</f>
        <v>70000</v>
      </c>
      <c r="E38" s="5">
        <f>$K6*$L6</f>
        <v>70000</v>
      </c>
      <c r="F38" s="5">
        <f>$K6*$L6</f>
        <v>70000</v>
      </c>
      <c r="G38" s="5">
        <f>$K6*$L6</f>
        <v>70000</v>
      </c>
      <c r="H38" s="3"/>
    </row>
    <row r="39" spans="1:8" x14ac:dyDescent="0.3">
      <c r="A39" t="s">
        <v>2</v>
      </c>
      <c r="B39" s="5"/>
      <c r="C39" s="5">
        <f>($M6*$K6+$N6)*-1</f>
        <v>-41000</v>
      </c>
      <c r="D39" s="5">
        <f>($M6*$K6+$N6)*-1</f>
        <v>-41000</v>
      </c>
      <c r="E39" s="5">
        <f>($M6*$K6+$N6)*-1</f>
        <v>-41000</v>
      </c>
      <c r="F39" s="5">
        <f>($M6*$K6+$N6)*-1</f>
        <v>-41000</v>
      </c>
      <c r="G39" s="5">
        <f>($M6*$K6+$N6)*-1</f>
        <v>-41000</v>
      </c>
      <c r="H39" s="3"/>
    </row>
    <row r="40" spans="1:8" x14ac:dyDescent="0.3">
      <c r="A40" t="s">
        <v>3</v>
      </c>
      <c r="B40" s="5"/>
      <c r="C40" s="5">
        <f>C38+C39</f>
        <v>29000</v>
      </c>
      <c r="D40" s="5">
        <f t="shared" ref="D40:G40" si="32">D38+D39</f>
        <v>29000</v>
      </c>
      <c r="E40" s="5">
        <f t="shared" si="32"/>
        <v>29000</v>
      </c>
      <c r="F40" s="5">
        <f t="shared" si="32"/>
        <v>29000</v>
      </c>
      <c r="G40" s="5">
        <f t="shared" si="32"/>
        <v>29000</v>
      </c>
      <c r="H40" s="3"/>
    </row>
    <row r="41" spans="1:8" x14ac:dyDescent="0.3">
      <c r="A41" t="s">
        <v>4</v>
      </c>
      <c r="B41" s="5">
        <v>-75000</v>
      </c>
      <c r="C41" s="5"/>
      <c r="D41" s="5"/>
      <c r="E41" s="5"/>
      <c r="F41" s="5"/>
      <c r="G41" s="5"/>
      <c r="H41" s="3"/>
    </row>
    <row r="42" spans="1:8" x14ac:dyDescent="0.3">
      <c r="A42" t="s">
        <v>5</v>
      </c>
      <c r="B42" s="5">
        <f>B41</f>
        <v>-75000</v>
      </c>
      <c r="C42" s="5">
        <f>C40</f>
        <v>29000</v>
      </c>
      <c r="D42" s="5">
        <f t="shared" ref="D42:G42" si="33">D40</f>
        <v>29000</v>
      </c>
      <c r="E42" s="5">
        <f t="shared" si="33"/>
        <v>29000</v>
      </c>
      <c r="F42" s="5">
        <f t="shared" si="33"/>
        <v>29000</v>
      </c>
      <c r="G42" s="5">
        <f t="shared" si="33"/>
        <v>29000</v>
      </c>
      <c r="H42" s="3"/>
    </row>
    <row r="43" spans="1:8" x14ac:dyDescent="0.3">
      <c r="A43" t="s">
        <v>13</v>
      </c>
      <c r="B43" s="4">
        <f>(1/(1+$O38))^B37</f>
        <v>1</v>
      </c>
      <c r="C43" s="4">
        <f>(1/(1+$O6))^C37</f>
        <v>0.83333333333333337</v>
      </c>
      <c r="D43" s="4">
        <f>(1/(1+$O6))^D37</f>
        <v>0.69444444444444453</v>
      </c>
      <c r="E43" s="4">
        <f>(1/(1+$O6))^E37</f>
        <v>0.57870370370370383</v>
      </c>
      <c r="F43" s="4">
        <f>(1/(1+$O6))^F37</f>
        <v>0.48225308641975323</v>
      </c>
      <c r="G43" s="4">
        <f>(1/(1+$O6))^G37</f>
        <v>0.40187757201646102</v>
      </c>
      <c r="H43" s="3"/>
    </row>
    <row r="44" spans="1:8" x14ac:dyDescent="0.3">
      <c r="A44" t="s">
        <v>14</v>
      </c>
      <c r="B44" s="2">
        <f>B42*B43</f>
        <v>-75000</v>
      </c>
      <c r="C44" s="2">
        <f t="shared" ref="C44" si="34">C42*C43</f>
        <v>24166.666666666668</v>
      </c>
      <c r="D44" s="2">
        <f t="shared" ref="D44" si="35">D42*D43</f>
        <v>20138.888888888891</v>
      </c>
      <c r="E44" s="2">
        <f t="shared" ref="E44" si="36">E42*E43</f>
        <v>16782.407407407412</v>
      </c>
      <c r="F44" s="2">
        <f t="shared" ref="F44" si="37">F42*F43</f>
        <v>13985.339506172844</v>
      </c>
      <c r="G44" s="2">
        <f t="shared" ref="G44" si="38">G42*G43</f>
        <v>11654.44958847737</v>
      </c>
      <c r="H44" s="3">
        <f>SUM(B44:G44)</f>
        <v>11727.752057613188</v>
      </c>
    </row>
    <row r="46" spans="1:8" x14ac:dyDescent="0.3">
      <c r="A46" t="s">
        <v>0</v>
      </c>
      <c r="B46">
        <v>0</v>
      </c>
      <c r="C46">
        <v>1</v>
      </c>
      <c r="D46">
        <v>2</v>
      </c>
      <c r="E46">
        <v>3</v>
      </c>
      <c r="F46">
        <v>4</v>
      </c>
      <c r="G46">
        <v>5</v>
      </c>
      <c r="H46" s="1" t="s">
        <v>15</v>
      </c>
    </row>
    <row r="47" spans="1:8" x14ac:dyDescent="0.3">
      <c r="A47" t="s">
        <v>1</v>
      </c>
      <c r="B47" s="5"/>
      <c r="C47" s="5">
        <f>$K7*$L7</f>
        <v>105000</v>
      </c>
      <c r="D47" s="5">
        <f t="shared" ref="D47:G47" si="39">$K7*$L7</f>
        <v>105000</v>
      </c>
      <c r="E47" s="5">
        <f t="shared" si="39"/>
        <v>105000</v>
      </c>
      <c r="F47" s="5">
        <f t="shared" si="39"/>
        <v>105000</v>
      </c>
      <c r="G47" s="5">
        <f t="shared" si="39"/>
        <v>105000</v>
      </c>
      <c r="H47" s="3"/>
    </row>
    <row r="48" spans="1:8" x14ac:dyDescent="0.3">
      <c r="A48" t="s">
        <v>2</v>
      </c>
      <c r="B48" s="5"/>
      <c r="C48" s="5">
        <f>($M7*$K7+$N7)*-1</f>
        <v>-49000</v>
      </c>
      <c r="D48" s="5">
        <f t="shared" ref="D48:G48" si="40">($M7*$K7+$N7)*-1</f>
        <v>-49000</v>
      </c>
      <c r="E48" s="5">
        <f t="shared" si="40"/>
        <v>-49000</v>
      </c>
      <c r="F48" s="5">
        <f t="shared" si="40"/>
        <v>-49000</v>
      </c>
      <c r="G48" s="5">
        <f t="shared" si="40"/>
        <v>-49000</v>
      </c>
      <c r="H48" s="3"/>
    </row>
    <row r="49" spans="1:8" x14ac:dyDescent="0.3">
      <c r="A49" t="s">
        <v>3</v>
      </c>
      <c r="B49" s="5"/>
      <c r="C49" s="5">
        <f>C47+C48</f>
        <v>56000</v>
      </c>
      <c r="D49" s="5">
        <f t="shared" ref="D49:G49" si="41">D47+D48</f>
        <v>56000</v>
      </c>
      <c r="E49" s="5">
        <f t="shared" si="41"/>
        <v>56000</v>
      </c>
      <c r="F49" s="5">
        <f t="shared" si="41"/>
        <v>56000</v>
      </c>
      <c r="G49" s="5">
        <f t="shared" si="41"/>
        <v>56000</v>
      </c>
      <c r="H49" s="3"/>
    </row>
    <row r="50" spans="1:8" x14ac:dyDescent="0.3">
      <c r="A50" t="s">
        <v>4</v>
      </c>
      <c r="B50" s="5">
        <v>-75000</v>
      </c>
      <c r="C50" s="5"/>
      <c r="D50" s="5"/>
      <c r="E50" s="5"/>
      <c r="F50" s="5"/>
      <c r="G50" s="5"/>
      <c r="H50" s="3"/>
    </row>
    <row r="51" spans="1:8" x14ac:dyDescent="0.3">
      <c r="A51" t="s">
        <v>5</v>
      </c>
      <c r="B51" s="5">
        <f>B50</f>
        <v>-75000</v>
      </c>
      <c r="C51" s="5">
        <f>C49</f>
        <v>56000</v>
      </c>
      <c r="D51" s="5">
        <f t="shared" ref="D51:G51" si="42">D49</f>
        <v>56000</v>
      </c>
      <c r="E51" s="5">
        <f t="shared" si="42"/>
        <v>56000</v>
      </c>
      <c r="F51" s="5">
        <f t="shared" si="42"/>
        <v>56000</v>
      </c>
      <c r="G51" s="5">
        <f t="shared" si="42"/>
        <v>56000</v>
      </c>
      <c r="H51" s="3"/>
    </row>
    <row r="52" spans="1:8" x14ac:dyDescent="0.3">
      <c r="A52" t="s">
        <v>13</v>
      </c>
      <c r="B52" s="4">
        <f>(1/(1+$O47))^B46</f>
        <v>1</v>
      </c>
      <c r="C52" s="4">
        <f>(1/(1+$O7))^C46</f>
        <v>0.83333333333333337</v>
      </c>
      <c r="D52" s="4">
        <f t="shared" ref="D52:G52" si="43">(1/(1+$O7))^D46</f>
        <v>0.69444444444444453</v>
      </c>
      <c r="E52" s="4">
        <f t="shared" si="43"/>
        <v>0.57870370370370383</v>
      </c>
      <c r="F52" s="4">
        <f t="shared" si="43"/>
        <v>0.48225308641975323</v>
      </c>
      <c r="G52" s="4">
        <f t="shared" si="43"/>
        <v>0.40187757201646102</v>
      </c>
      <c r="H52" s="3"/>
    </row>
    <row r="53" spans="1:8" x14ac:dyDescent="0.3">
      <c r="A53" t="s">
        <v>14</v>
      </c>
      <c r="B53" s="2">
        <f>B51*B52</f>
        <v>-75000</v>
      </c>
      <c r="C53" s="2">
        <f t="shared" ref="C53:G53" si="44">C51*C52</f>
        <v>46666.666666666672</v>
      </c>
      <c r="D53" s="2">
        <f t="shared" ref="D53:G53" si="45">D51*D52</f>
        <v>38888.888888888891</v>
      </c>
      <c r="E53" s="2">
        <f t="shared" si="45"/>
        <v>32407.407407407416</v>
      </c>
      <c r="F53" s="2">
        <f t="shared" si="45"/>
        <v>27006.17283950618</v>
      </c>
      <c r="G53" s="2">
        <f t="shared" si="45"/>
        <v>22505.144032921817</v>
      </c>
      <c r="H53" s="3">
        <f>SUM(B53:G53)</f>
        <v>92474.279835390975</v>
      </c>
    </row>
    <row r="55" spans="1:8" x14ac:dyDescent="0.3">
      <c r="A55" t="s">
        <v>0</v>
      </c>
      <c r="B55">
        <v>0</v>
      </c>
      <c r="C55">
        <v>1</v>
      </c>
      <c r="D55">
        <v>2</v>
      </c>
      <c r="E55">
        <v>3</v>
      </c>
      <c r="F55">
        <v>4</v>
      </c>
      <c r="G55">
        <v>5</v>
      </c>
      <c r="H55" s="1" t="s">
        <v>15</v>
      </c>
    </row>
    <row r="56" spans="1:8" x14ac:dyDescent="0.3">
      <c r="A56" t="s">
        <v>1</v>
      </c>
      <c r="B56" s="5"/>
      <c r="C56" s="5">
        <f>$K8*$L8</f>
        <v>70000</v>
      </c>
      <c r="D56" s="5">
        <f t="shared" ref="D56:G56" si="46">$K8*$L8</f>
        <v>70000</v>
      </c>
      <c r="E56" s="5">
        <f t="shared" si="46"/>
        <v>70000</v>
      </c>
      <c r="F56" s="5">
        <f t="shared" si="46"/>
        <v>70000</v>
      </c>
      <c r="G56" s="5">
        <f t="shared" si="46"/>
        <v>70000</v>
      </c>
      <c r="H56" s="3"/>
    </row>
    <row r="57" spans="1:8" x14ac:dyDescent="0.3">
      <c r="A57" t="s">
        <v>2</v>
      </c>
      <c r="B57" s="5"/>
      <c r="C57" s="5">
        <f>($M8*$K8+$N8)*-1</f>
        <v>-59000</v>
      </c>
      <c r="D57" s="5">
        <f t="shared" ref="D57:G57" si="47">($M8*$K8+$N8)*-1</f>
        <v>-59000</v>
      </c>
      <c r="E57" s="5">
        <f t="shared" si="47"/>
        <v>-59000</v>
      </c>
      <c r="F57" s="5">
        <f t="shared" si="47"/>
        <v>-59000</v>
      </c>
      <c r="G57" s="5">
        <f t="shared" si="47"/>
        <v>-59000</v>
      </c>
      <c r="H57" s="3"/>
    </row>
    <row r="58" spans="1:8" x14ac:dyDescent="0.3">
      <c r="A58" t="s">
        <v>3</v>
      </c>
      <c r="B58" s="5"/>
      <c r="C58" s="5">
        <f>C56+C57</f>
        <v>11000</v>
      </c>
      <c r="D58" s="5">
        <f t="shared" ref="D58:G58" si="48">D56+D57</f>
        <v>11000</v>
      </c>
      <c r="E58" s="5">
        <f t="shared" si="48"/>
        <v>11000</v>
      </c>
      <c r="F58" s="5">
        <f t="shared" si="48"/>
        <v>11000</v>
      </c>
      <c r="G58" s="5">
        <f t="shared" si="48"/>
        <v>11000</v>
      </c>
      <c r="H58" s="3"/>
    </row>
    <row r="59" spans="1:8" x14ac:dyDescent="0.3">
      <c r="A59" t="s">
        <v>4</v>
      </c>
      <c r="B59" s="5">
        <v>-75000</v>
      </c>
      <c r="C59" s="5"/>
      <c r="D59" s="5"/>
      <c r="E59" s="5"/>
      <c r="F59" s="5"/>
      <c r="G59" s="5"/>
      <c r="H59" s="3"/>
    </row>
    <row r="60" spans="1:8" x14ac:dyDescent="0.3">
      <c r="A60" t="s">
        <v>5</v>
      </c>
      <c r="B60" s="5">
        <f>B59</f>
        <v>-75000</v>
      </c>
      <c r="C60" s="5">
        <f>C58</f>
        <v>11000</v>
      </c>
      <c r="D60" s="5">
        <f t="shared" ref="D60:G60" si="49">D58</f>
        <v>11000</v>
      </c>
      <c r="E60" s="5">
        <f t="shared" si="49"/>
        <v>11000</v>
      </c>
      <c r="F60" s="5">
        <f t="shared" si="49"/>
        <v>11000</v>
      </c>
      <c r="G60" s="5">
        <f t="shared" si="49"/>
        <v>11000</v>
      </c>
      <c r="H60" s="3"/>
    </row>
    <row r="61" spans="1:8" x14ac:dyDescent="0.3">
      <c r="A61" t="s">
        <v>13</v>
      </c>
      <c r="B61" s="4">
        <f>(1/(1+$O56))^B55</f>
        <v>1</v>
      </c>
      <c r="C61" s="4">
        <f>(1/(1+$O8))^C55</f>
        <v>0.86956521739130443</v>
      </c>
      <c r="D61" s="4">
        <f t="shared" ref="D61:G61" si="50">(1/(1+$O8))^D55</f>
        <v>0.7561436672967865</v>
      </c>
      <c r="E61" s="4">
        <f t="shared" si="50"/>
        <v>0.65751623243198831</v>
      </c>
      <c r="F61" s="4">
        <f t="shared" si="50"/>
        <v>0.57175324559303331</v>
      </c>
      <c r="G61" s="4">
        <f t="shared" si="50"/>
        <v>0.49717673529828987</v>
      </c>
      <c r="H61" s="3"/>
    </row>
    <row r="62" spans="1:8" x14ac:dyDescent="0.3">
      <c r="A62" t="s">
        <v>14</v>
      </c>
      <c r="B62" s="2">
        <f>B60*B61</f>
        <v>-75000</v>
      </c>
      <c r="C62" s="2">
        <f t="shared" ref="C62:G62" si="51">C60*C61</f>
        <v>9565.217391304348</v>
      </c>
      <c r="D62" s="2">
        <f t="shared" ref="D62:G62" si="52">D60*D61</f>
        <v>8317.5803402646507</v>
      </c>
      <c r="E62" s="2">
        <f t="shared" si="52"/>
        <v>7232.6785567518718</v>
      </c>
      <c r="F62" s="2">
        <f t="shared" si="52"/>
        <v>6289.2857015233667</v>
      </c>
      <c r="G62" s="2">
        <f t="shared" si="52"/>
        <v>5468.9440882811887</v>
      </c>
      <c r="H62" s="3">
        <f>SUM(B62:G62)</f>
        <v>-38126.293921874567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 Flores-Brown</dc:creator>
  <cp:lastModifiedBy>Alejandro D Flores-Brown</cp:lastModifiedBy>
  <dcterms:created xsi:type="dcterms:W3CDTF">2026-10-08T04:39:37Z</dcterms:created>
  <dcterms:modified xsi:type="dcterms:W3CDTF">2026-10-09T03:41:26Z</dcterms:modified>
</cp:coreProperties>
</file>